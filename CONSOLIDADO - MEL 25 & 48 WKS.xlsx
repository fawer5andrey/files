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9735"/>
  </bookViews>
  <sheets>
    <sheet name="6 meses" sheetId="2" r:id="rId1"/>
    <sheet name="12 meses" sheetId="1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2" l="1"/>
  <c r="F10" i="2"/>
  <c r="K16" i="2"/>
  <c r="J11" i="2"/>
  <c r="I11" i="2"/>
  <c r="H11" i="2"/>
  <c r="G11" i="2"/>
  <c r="F11" i="2"/>
  <c r="E11" i="2"/>
  <c r="D11" i="2"/>
  <c r="D19" i="1" l="1"/>
  <c r="I10" i="1"/>
  <c r="J10" i="2"/>
  <c r="E10" i="1"/>
  <c r="F10" i="1"/>
  <c r="H10" i="2"/>
  <c r="H12" i="2" s="1"/>
  <c r="H13" i="2" s="1"/>
  <c r="E10" i="2"/>
  <c r="D15" i="2"/>
  <c r="E8" i="2"/>
  <c r="F8" i="2"/>
  <c r="F12" i="2" s="1"/>
  <c r="F13" i="2" s="1"/>
  <c r="K13" i="2" s="1"/>
  <c r="G8" i="2"/>
  <c r="G12" i="2" s="1"/>
  <c r="G13" i="2" s="1"/>
  <c r="H8" i="2"/>
  <c r="I8" i="2"/>
  <c r="I12" i="2" s="1"/>
  <c r="I13" i="2" s="1"/>
  <c r="J8" i="2"/>
  <c r="J12" i="2" s="1"/>
  <c r="J13" i="2" s="1"/>
  <c r="D8" i="2"/>
  <c r="D12" i="2" s="1"/>
  <c r="D13" i="2" s="1"/>
  <c r="D11" i="1"/>
  <c r="E11" i="1"/>
  <c r="F11" i="1"/>
  <c r="G11" i="1"/>
  <c r="H11" i="1"/>
  <c r="I11" i="1"/>
  <c r="F8" i="1"/>
  <c r="F12" i="1"/>
  <c r="F13" i="1"/>
  <c r="F19" i="1"/>
  <c r="F21" i="1"/>
  <c r="F22" i="1"/>
  <c r="G15" i="2"/>
  <c r="G17" i="2"/>
  <c r="G18" i="2"/>
  <c r="E19" i="1"/>
  <c r="G19" i="1"/>
  <c r="H19" i="1"/>
  <c r="I19" i="1"/>
  <c r="E15" i="2"/>
  <c r="H15" i="2"/>
  <c r="I15" i="2"/>
  <c r="J15" i="2"/>
  <c r="E22" i="2"/>
  <c r="D17" i="2"/>
  <c r="D18" i="2"/>
  <c r="E8" i="1"/>
  <c r="E12" i="1"/>
  <c r="G8" i="1"/>
  <c r="G12" i="1"/>
  <c r="H8" i="1"/>
  <c r="H12" i="1"/>
  <c r="I8" i="1"/>
  <c r="I12" i="1"/>
  <c r="D8" i="1"/>
  <c r="D12" i="1"/>
  <c r="F17" i="2"/>
  <c r="F18" i="2" s="1"/>
  <c r="I13" i="1"/>
  <c r="J17" i="2"/>
  <c r="J18" i="2"/>
  <c r="I21" i="1"/>
  <c r="I22" i="1"/>
  <c r="E17" i="2"/>
  <c r="E18" i="2"/>
  <c r="I17" i="2"/>
  <c r="I18" i="2"/>
  <c r="E25" i="2"/>
  <c r="H17" i="2"/>
  <c r="H18" i="2"/>
  <c r="E21" i="1"/>
  <c r="E22" i="1"/>
  <c r="G21" i="1"/>
  <c r="G22" i="1"/>
  <c r="H21" i="1"/>
  <c r="H22" i="1"/>
  <c r="D21" i="1"/>
  <c r="D22" i="1"/>
  <c r="E26" i="1"/>
  <c r="E29" i="1"/>
  <c r="H13" i="1"/>
  <c r="G13" i="1"/>
  <c r="D13" i="1"/>
  <c r="E13" i="1"/>
  <c r="E12" i="2" l="1"/>
  <c r="E13" i="2" s="1"/>
</calcChain>
</file>

<file path=xl/comments1.xml><?xml version="1.0" encoding="utf-8"?>
<comments xmlns="http://schemas.openxmlformats.org/spreadsheetml/2006/main">
  <authors>
    <author>Lenovo-Advisor</author>
  </authors>
  <commentList>
    <comment ref="J10" authorId="0">
      <text>
        <r>
          <rPr>
            <b/>
            <sz val="9"/>
            <color indexed="81"/>
            <rFont val="Tahoma"/>
            <charset val="1"/>
          </rPr>
          <t>Lenovo-Advisor:</t>
        </r>
        <r>
          <rPr>
            <sz val="9"/>
            <color indexed="81"/>
            <rFont val="Tahoma"/>
            <charset val="1"/>
          </rPr>
          <t xml:space="preserve">
Workbook 20 AUD
Textbook 60 o 80 AUD por nivel</t>
        </r>
      </text>
    </comment>
  </commentList>
</comments>
</file>

<file path=xl/comments2.xml><?xml version="1.0" encoding="utf-8"?>
<comments xmlns="http://schemas.openxmlformats.org/spreadsheetml/2006/main">
  <authors>
    <author>Lenovo-Advisor</author>
  </authors>
  <commentList>
    <comment ref="I10" authorId="0">
      <text>
        <r>
          <rPr>
            <b/>
            <sz val="9"/>
            <color indexed="81"/>
            <rFont val="Tahoma"/>
            <charset val="1"/>
          </rPr>
          <t>Lenovo-Advisor:</t>
        </r>
        <r>
          <rPr>
            <sz val="9"/>
            <color indexed="81"/>
            <rFont val="Tahoma"/>
            <charset val="1"/>
          </rPr>
          <t xml:space="preserve">
Workbook 20 AUD
Textbook 60 o 80 AUD por nivel</t>
        </r>
      </text>
    </comment>
  </commentList>
</comments>
</file>

<file path=xl/sharedStrings.xml><?xml version="1.0" encoding="utf-8"?>
<sst xmlns="http://schemas.openxmlformats.org/spreadsheetml/2006/main" count="89" uniqueCount="47">
  <si>
    <t>BLUE STUDIES INTERNATIONAL</t>
  </si>
  <si>
    <t xml:space="preserve">COTIZACION PROGRAMAS INGLES </t>
  </si>
  <si>
    <t>AUSTRALIA</t>
  </si>
  <si>
    <t>INSTITUCIONES MELBOURNE</t>
  </si>
  <si>
    <t>COSTOS</t>
  </si>
  <si>
    <t>IMPACT</t>
  </si>
  <si>
    <t>MONEDA</t>
  </si>
  <si>
    <t>AUD</t>
  </si>
  <si>
    <t>No. SEMANAS</t>
  </si>
  <si>
    <t>MATRICULA</t>
  </si>
  <si>
    <t>VALOR EN PESOS COLOMBIANOS</t>
  </si>
  <si>
    <t>Tiquete aereo ida y regreso</t>
  </si>
  <si>
    <t>COP</t>
  </si>
  <si>
    <t xml:space="preserve">GASTOS ADICIONALES </t>
  </si>
  <si>
    <t>EXAMENES MEDICOS</t>
  </si>
  <si>
    <t>COL$</t>
  </si>
  <si>
    <t>TOTAL GASTOS ADICIONALES</t>
  </si>
  <si>
    <t>TASA DE CAMBIO APROX. A LA FECHA</t>
  </si>
  <si>
    <t>ACOMODACION HOMESTAY (4 wks)</t>
  </si>
  <si>
    <t>*** nueva institucion</t>
  </si>
  <si>
    <t>MATERIALES POR NIVEL</t>
  </si>
  <si>
    <t xml:space="preserve">   pago se reliquidara de acuerdo a las tasas vigentes.</t>
  </si>
  <si>
    <t xml:space="preserve">   aviso.</t>
  </si>
  <si>
    <t>ACOMODACION</t>
  </si>
  <si>
    <t>**precios en promocion</t>
  </si>
  <si>
    <t>*La tasa de cambio es la vigente en el momento de elaborar la cotización, al momento del</t>
  </si>
  <si>
    <t xml:space="preserve">*Los valores oficiales del programa son en dólares Australianos y pueden variar sin previo </t>
  </si>
  <si>
    <t xml:space="preserve">ABCC (centro de servicios - Biometricos)-Aprox. </t>
  </si>
  <si>
    <t>Valor a demostrar a la embajada en AUD</t>
  </si>
  <si>
    <t>VISA -T DE CREDITO</t>
  </si>
  <si>
    <t>REQUISITOS FINANCIEROS PARA LA EMBAJADA - Dineros a demostrar en cuentas de ahorro, CTE y CDT - DINEROS LIQUIDOS</t>
  </si>
  <si>
    <t>GREENWICH</t>
  </si>
  <si>
    <t>RECOGIDA AEROPUERTO - Aproximado</t>
  </si>
  <si>
    <t>BUSQUEDA ACOMODACION - Precios Aprox.</t>
  </si>
  <si>
    <t>Valor en Pesos Colombianos</t>
  </si>
  <si>
    <t>COLLEGES</t>
  </si>
  <si>
    <t>TAFE</t>
  </si>
  <si>
    <t>OSHC - Seguro Medico (Valor Aproximado por 14 meses)</t>
  </si>
  <si>
    <t>UNIVERSITY</t>
  </si>
  <si>
    <t>VICTORIA UNI</t>
  </si>
  <si>
    <t>ABILITY</t>
  </si>
  <si>
    <t>DISCOVER</t>
  </si>
  <si>
    <t>OSHC - Seguro Medico (Valor Aproximado por 8 meses)</t>
  </si>
  <si>
    <t xml:space="preserve">Manutencion (AUD$1691 por mes de estadia) </t>
  </si>
  <si>
    <t>ILSC</t>
  </si>
  <si>
    <t>MELBOURNE POLYTECHNIC PC</t>
  </si>
  <si>
    <t>MELBOURNE POLYTECHNIC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</si>
</sst>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.00_-;\-&quot;$&quot;* #,##0.00_-;_-&quot;$&quot;* &quot;-&quot;??_-;_-@_-"/>
    <numFmt numFmtId="165" formatCode="_(&quot;$&quot;\ * #,##0_);_(&quot;$&quot;\ * \(#,##0\);_(&quot;$&quot;\ * &quot;-&quot;??_);_(@_)"/>
    <numFmt numFmtId="166" formatCode="_([$AUD]\ * #,##0.00_);_([$AUD]\ * \(#,##0.00\);_([$AUD]\ 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3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0" fillId="0" borderId="3" xfId="0" applyBorder="1"/>
    <xf numFmtId="0" fontId="7" fillId="0" borderId="2" xfId="0" applyFont="1" applyBorder="1"/>
    <xf numFmtId="0" fontId="2" fillId="0" borderId="3" xfId="0" applyFont="1" applyBorder="1" applyAlignment="1">
      <alignment horizontal="center"/>
    </xf>
    <xf numFmtId="0" fontId="6" fillId="0" borderId="1" xfId="0" applyFont="1" applyBorder="1"/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0" fillId="0" borderId="0" xfId="0" applyFont="1"/>
    <xf numFmtId="0" fontId="11" fillId="2" borderId="1" xfId="0" applyFont="1" applyFill="1" applyBorder="1" applyAlignment="1">
      <alignment horizontal="center" wrapText="1"/>
    </xf>
    <xf numFmtId="165" fontId="10" fillId="0" borderId="1" xfId="1" applyNumberFormat="1" applyFont="1" applyBorder="1" applyAlignment="1">
      <alignment horizontal="center"/>
    </xf>
    <xf numFmtId="165" fontId="10" fillId="0" borderId="1" xfId="1" applyNumberFormat="1" applyFont="1" applyFill="1" applyBorder="1" applyAlignment="1">
      <alignment horizontal="center"/>
    </xf>
    <xf numFmtId="165" fontId="10" fillId="0" borderId="1" xfId="0" applyNumberFormat="1" applyFont="1" applyBorder="1"/>
    <xf numFmtId="165" fontId="12" fillId="0" borderId="1" xfId="1" applyNumberFormat="1" applyFont="1" applyBorder="1" applyAlignment="1">
      <alignment horizontal="center"/>
    </xf>
    <xf numFmtId="165" fontId="12" fillId="0" borderId="1" xfId="0" applyNumberFormat="1" applyFont="1" applyBorder="1"/>
    <xf numFmtId="165" fontId="12" fillId="0" borderId="0" xfId="1" applyNumberFormat="1" applyFont="1" applyBorder="1" applyAlignment="1">
      <alignment horizontal="center"/>
    </xf>
    <xf numFmtId="165" fontId="10" fillId="0" borderId="0" xfId="1" applyNumberFormat="1" applyFont="1"/>
    <xf numFmtId="165" fontId="12" fillId="0" borderId="1" xfId="1" applyNumberFormat="1" applyFont="1" applyBorder="1" applyAlignment="1">
      <alignment horizontal="center" vertical="center"/>
    </xf>
    <xf numFmtId="165" fontId="11" fillId="0" borderId="1" xfId="1" applyNumberFormat="1" applyFont="1" applyBorder="1"/>
    <xf numFmtId="165" fontId="11" fillId="0" borderId="0" xfId="1" applyNumberFormat="1" applyFont="1" applyBorder="1"/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right"/>
    </xf>
    <xf numFmtId="0" fontId="10" fillId="0" borderId="1" xfId="0" applyFont="1" applyBorder="1"/>
    <xf numFmtId="165" fontId="10" fillId="0" borderId="0" xfId="0" applyNumberFormat="1" applyFont="1" applyBorder="1" applyAlignment="1">
      <alignment horizontal="right"/>
    </xf>
    <xf numFmtId="165" fontId="12" fillId="0" borderId="0" xfId="0" applyNumberFormat="1" applyFont="1" applyBorder="1"/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2" borderId="2" xfId="0" applyFont="1" applyFill="1" applyBorder="1" applyAlignment="1">
      <alignment horizontal="center"/>
    </xf>
    <xf numFmtId="165" fontId="0" fillId="0" borderId="0" xfId="0" applyNumberFormat="1"/>
    <xf numFmtId="165" fontId="12" fillId="4" borderId="1" xfId="1" applyNumberFormat="1" applyFont="1" applyFill="1" applyBorder="1" applyAlignment="1">
      <alignment horizontal="center"/>
    </xf>
    <xf numFmtId="165" fontId="12" fillId="4" borderId="1" xfId="1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65" fontId="11" fillId="0" borderId="4" xfId="1" applyNumberFormat="1" applyFont="1" applyBorder="1" applyAlignment="1">
      <alignment horizontal="center" wrapText="1"/>
    </xf>
    <xf numFmtId="166" fontId="10" fillId="0" borderId="1" xfId="1" applyNumberFormat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165" fontId="0" fillId="5" borderId="0" xfId="0" applyNumberForma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0</xdr:rowOff>
    </xdr:from>
    <xdr:to>
      <xdr:col>2</xdr:col>
      <xdr:colOff>809808</xdr:colOff>
      <xdr:row>3</xdr:row>
      <xdr:rowOff>19050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65" t="11538" r="8673" b="21795"/>
        <a:stretch/>
      </xdr:blipFill>
      <xdr:spPr>
        <a:xfrm>
          <a:off x="257175" y="0"/>
          <a:ext cx="1933758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0</xdr:rowOff>
    </xdr:from>
    <xdr:to>
      <xdr:col>2</xdr:col>
      <xdr:colOff>809808</xdr:colOff>
      <xdr:row>4</xdr:row>
      <xdr:rowOff>85725</xdr:rowOff>
    </xdr:to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65" t="11538" r="8673" b="21795"/>
        <a:stretch/>
      </xdr:blipFill>
      <xdr:spPr>
        <a:xfrm>
          <a:off x="257175" y="0"/>
          <a:ext cx="1933758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25"/>
  <sheetViews>
    <sheetView tabSelected="1" zoomScale="110" zoomScaleNormal="110" workbookViewId="0"/>
  </sheetViews>
  <sheetFormatPr baseColWidth="10" defaultRowHeight="15" x14ac:dyDescent="0.25"/>
  <cols>
    <col min="1" max="1" width="1" customWidth="1"/>
    <col min="2" max="2" width="19.7109375" customWidth="1"/>
    <col min="3" max="3" width="20.140625" customWidth="1"/>
    <col min="4" max="6" width="13.7109375" style="20" customWidth="1"/>
    <col min="7" max="7" width="13.7109375" style="20" hidden="1" customWidth="1"/>
    <col min="8" max="10" width="13.7109375" style="20" customWidth="1"/>
    <col min="11" max="11" width="13.140625" bestFit="1" customWidth="1"/>
  </cols>
  <sheetData>
    <row r="1" spans="2:11" ht="18.75" x14ac:dyDescent="0.3">
      <c r="C1" s="58" t="s">
        <v>0</v>
      </c>
      <c r="D1" s="58"/>
      <c r="E1" s="58"/>
      <c r="F1" s="58"/>
      <c r="G1" s="58"/>
      <c r="H1" s="58"/>
    </row>
    <row r="2" spans="2:11" ht="15.75" x14ac:dyDescent="0.25">
      <c r="C2" s="59" t="s">
        <v>1</v>
      </c>
      <c r="D2" s="59"/>
      <c r="E2" s="59"/>
      <c r="F2" s="59"/>
      <c r="G2" s="59"/>
      <c r="H2" s="59"/>
    </row>
    <row r="3" spans="2:11" ht="15.75" x14ac:dyDescent="0.25">
      <c r="C3" s="59" t="s">
        <v>2</v>
      </c>
      <c r="D3" s="59"/>
      <c r="E3" s="59"/>
      <c r="F3" s="59"/>
      <c r="G3" s="59"/>
      <c r="H3" s="59"/>
    </row>
    <row r="4" spans="2:11" x14ac:dyDescent="0.25">
      <c r="D4" s="57" t="s">
        <v>3</v>
      </c>
      <c r="E4" s="57"/>
      <c r="F4" s="57"/>
      <c r="G4" s="57"/>
      <c r="H4" s="57"/>
      <c r="I4" s="57"/>
      <c r="J4" s="57"/>
    </row>
    <row r="5" spans="2:11" x14ac:dyDescent="0.25">
      <c r="D5" s="60" t="s">
        <v>35</v>
      </c>
      <c r="E5" s="61"/>
      <c r="F5" s="61"/>
      <c r="G5" s="61"/>
      <c r="H5" s="62"/>
      <c r="I5" s="40" t="s">
        <v>36</v>
      </c>
      <c r="J5" s="21" t="s">
        <v>38</v>
      </c>
    </row>
    <row r="6" spans="2:11" s="39" customFormat="1" ht="39.75" customHeight="1" x14ac:dyDescent="0.25">
      <c r="B6" s="52" t="s">
        <v>4</v>
      </c>
      <c r="C6" s="53"/>
      <c r="D6" s="37" t="s">
        <v>40</v>
      </c>
      <c r="E6" s="38" t="s">
        <v>5</v>
      </c>
      <c r="F6" s="68" t="s">
        <v>41</v>
      </c>
      <c r="G6" s="38" t="s">
        <v>44</v>
      </c>
      <c r="H6" s="38" t="s">
        <v>31</v>
      </c>
      <c r="I6" s="37" t="s">
        <v>46</v>
      </c>
      <c r="J6" s="37" t="s">
        <v>39</v>
      </c>
    </row>
    <row r="7" spans="2:11" x14ac:dyDescent="0.25">
      <c r="B7" s="1" t="s">
        <v>6</v>
      </c>
      <c r="C7" s="2" t="s">
        <v>7</v>
      </c>
      <c r="D7" s="64">
        <v>260</v>
      </c>
      <c r="E7" s="64">
        <v>260</v>
      </c>
      <c r="F7" s="64">
        <v>230</v>
      </c>
      <c r="G7" s="64">
        <v>255</v>
      </c>
      <c r="H7" s="64">
        <v>255</v>
      </c>
      <c r="I7" s="66">
        <v>220</v>
      </c>
      <c r="J7" s="66">
        <v>249</v>
      </c>
    </row>
    <row r="8" spans="2:11" x14ac:dyDescent="0.25">
      <c r="B8" s="1" t="s">
        <v>8</v>
      </c>
      <c r="C8" s="18">
        <v>16</v>
      </c>
      <c r="D8" s="64">
        <f>$C$8*D7</f>
        <v>4160</v>
      </c>
      <c r="E8" s="64">
        <f t="shared" ref="E8:J8" si="0">$C$8*E7</f>
        <v>4160</v>
      </c>
      <c r="F8" s="64">
        <f t="shared" si="0"/>
        <v>3680</v>
      </c>
      <c r="G8" s="64">
        <f>G7*C8</f>
        <v>4080</v>
      </c>
      <c r="H8" s="64">
        <f t="shared" si="0"/>
        <v>4080</v>
      </c>
      <c r="I8" s="64">
        <f t="shared" si="0"/>
        <v>3520</v>
      </c>
      <c r="J8" s="64">
        <f t="shared" si="0"/>
        <v>3984</v>
      </c>
    </row>
    <row r="9" spans="2:11" x14ac:dyDescent="0.25">
      <c r="B9" s="46" t="s">
        <v>9</v>
      </c>
      <c r="C9" s="47"/>
      <c r="D9" s="64">
        <v>220</v>
      </c>
      <c r="E9" s="64">
        <v>200</v>
      </c>
      <c r="F9" s="64">
        <v>220</v>
      </c>
      <c r="G9" s="64">
        <v>230</v>
      </c>
      <c r="H9" s="64">
        <v>210</v>
      </c>
      <c r="I9" s="66">
        <v>0</v>
      </c>
      <c r="J9" s="66">
        <v>200</v>
      </c>
    </row>
    <row r="10" spans="2:11" x14ac:dyDescent="0.25">
      <c r="B10" s="46" t="s">
        <v>20</v>
      </c>
      <c r="C10" s="47"/>
      <c r="D10" s="66">
        <v>250</v>
      </c>
      <c r="E10" s="64">
        <f>15*C8</f>
        <v>240</v>
      </c>
      <c r="F10" s="64">
        <f>70*4</f>
        <v>280</v>
      </c>
      <c r="G10" s="64">
        <v>240</v>
      </c>
      <c r="H10" s="64">
        <f>C8*10</f>
        <v>160</v>
      </c>
      <c r="I10" s="66">
        <v>0</v>
      </c>
      <c r="J10" s="66">
        <f>(20*3)+(80*3)</f>
        <v>300</v>
      </c>
      <c r="K10" s="41"/>
    </row>
    <row r="11" spans="2:11" ht="27.75" customHeight="1" x14ac:dyDescent="0.25">
      <c r="B11" s="54" t="s">
        <v>42</v>
      </c>
      <c r="C11" s="55"/>
      <c r="D11" s="64">
        <f>50*5</f>
        <v>250</v>
      </c>
      <c r="E11" s="64">
        <f t="shared" ref="E11:J11" si="1">50*5</f>
        <v>250</v>
      </c>
      <c r="F11" s="64">
        <f t="shared" si="1"/>
        <v>250</v>
      </c>
      <c r="G11" s="64">
        <f t="shared" si="1"/>
        <v>250</v>
      </c>
      <c r="H11" s="64">
        <f t="shared" si="1"/>
        <v>250</v>
      </c>
      <c r="I11" s="64">
        <f t="shared" si="1"/>
        <v>250</v>
      </c>
      <c r="J11" s="64">
        <f t="shared" si="1"/>
        <v>250</v>
      </c>
    </row>
    <row r="12" spans="2:11" x14ac:dyDescent="0.25">
      <c r="B12" s="19"/>
      <c r="C12" s="19" t="s">
        <v>7</v>
      </c>
      <c r="D12" s="67">
        <f>SUM(D8:D11)</f>
        <v>4880</v>
      </c>
      <c r="E12" s="67">
        <f t="shared" ref="E12:J12" si="2">SUM(E8:E11)</f>
        <v>4850</v>
      </c>
      <c r="F12" s="67">
        <f t="shared" si="2"/>
        <v>4430</v>
      </c>
      <c r="G12" s="67">
        <f t="shared" si="2"/>
        <v>4800</v>
      </c>
      <c r="H12" s="67">
        <f t="shared" si="2"/>
        <v>4700</v>
      </c>
      <c r="I12" s="67">
        <f t="shared" si="2"/>
        <v>3770</v>
      </c>
      <c r="J12" s="67">
        <f t="shared" si="2"/>
        <v>4734</v>
      </c>
    </row>
    <row r="13" spans="2:11" x14ac:dyDescent="0.25">
      <c r="B13" s="56" t="s">
        <v>10</v>
      </c>
      <c r="C13" s="56"/>
      <c r="D13" s="25">
        <f>D12*$D$19</f>
        <v>10736000</v>
      </c>
      <c r="E13" s="25">
        <f t="shared" ref="E13:J13" si="3">E12*$D$19</f>
        <v>10670000</v>
      </c>
      <c r="F13" s="42">
        <f t="shared" si="3"/>
        <v>9746000</v>
      </c>
      <c r="G13" s="25">
        <f>G12*$D$19</f>
        <v>10560000</v>
      </c>
      <c r="H13" s="25">
        <f t="shared" si="3"/>
        <v>10340000</v>
      </c>
      <c r="I13" s="25">
        <f t="shared" si="3"/>
        <v>8294000</v>
      </c>
      <c r="J13" s="25">
        <f t="shared" si="3"/>
        <v>10414800</v>
      </c>
      <c r="K13" s="69">
        <f>F13+F18</f>
        <v>30126800</v>
      </c>
    </row>
    <row r="14" spans="2:11" ht="15.75" x14ac:dyDescent="0.25">
      <c r="B14" s="11" t="s">
        <v>30</v>
      </c>
      <c r="C14" s="7"/>
      <c r="D14" s="28"/>
      <c r="E14" s="28"/>
      <c r="F14" s="28"/>
      <c r="G14" s="28"/>
      <c r="H14" s="28"/>
    </row>
    <row r="15" spans="2:11" ht="28.5" customHeight="1" x14ac:dyDescent="0.25">
      <c r="B15" s="44" t="s">
        <v>43</v>
      </c>
      <c r="C15" s="45"/>
      <c r="D15" s="22">
        <f>1691*6</f>
        <v>10146</v>
      </c>
      <c r="E15" s="22">
        <f t="shared" ref="E15:J15" si="4">1691*6</f>
        <v>10146</v>
      </c>
      <c r="F15" s="64">
        <f>1691*4</f>
        <v>6764</v>
      </c>
      <c r="G15" s="22">
        <f t="shared" si="4"/>
        <v>10146</v>
      </c>
      <c r="H15" s="22">
        <f t="shared" si="4"/>
        <v>10146</v>
      </c>
      <c r="I15" s="22">
        <f t="shared" si="4"/>
        <v>10146</v>
      </c>
      <c r="J15" s="22">
        <f t="shared" si="4"/>
        <v>10146</v>
      </c>
    </row>
    <row r="16" spans="2:11" x14ac:dyDescent="0.25">
      <c r="B16" s="46" t="s">
        <v>11</v>
      </c>
      <c r="C16" s="47"/>
      <c r="D16" s="22">
        <v>2500</v>
      </c>
      <c r="E16" s="22">
        <v>2500</v>
      </c>
      <c r="F16" s="64">
        <v>2500</v>
      </c>
      <c r="G16" s="22">
        <v>2500</v>
      </c>
      <c r="H16" s="22">
        <v>2500</v>
      </c>
      <c r="I16" s="22">
        <v>2500</v>
      </c>
      <c r="J16" s="22">
        <v>2500</v>
      </c>
      <c r="K16" s="41">
        <f>+F16*D19</f>
        <v>5500000</v>
      </c>
    </row>
    <row r="17" spans="2:11" ht="29.25" customHeight="1" x14ac:dyDescent="0.25">
      <c r="B17" s="48" t="s">
        <v>28</v>
      </c>
      <c r="C17" s="49"/>
      <c r="D17" s="29">
        <f>D15+D16</f>
        <v>12646</v>
      </c>
      <c r="E17" s="29">
        <f t="shared" ref="E17:J17" si="5">E15+E16</f>
        <v>12646</v>
      </c>
      <c r="F17" s="65">
        <f>F15+F16</f>
        <v>9264</v>
      </c>
      <c r="G17" s="29">
        <f>G15+G16</f>
        <v>12646</v>
      </c>
      <c r="H17" s="29">
        <f t="shared" si="5"/>
        <v>12646</v>
      </c>
      <c r="I17" s="29">
        <f t="shared" si="5"/>
        <v>12646</v>
      </c>
      <c r="J17" s="29">
        <f t="shared" si="5"/>
        <v>12646</v>
      </c>
    </row>
    <row r="18" spans="2:11" ht="16.5" customHeight="1" x14ac:dyDescent="0.25">
      <c r="B18" s="50" t="s">
        <v>34</v>
      </c>
      <c r="C18" s="51"/>
      <c r="D18" s="29">
        <f t="shared" ref="D18:J18" si="6">D17*$D$19</f>
        <v>27821200</v>
      </c>
      <c r="E18" s="29">
        <f t="shared" si="6"/>
        <v>27821200</v>
      </c>
      <c r="F18" s="43">
        <f t="shared" si="6"/>
        <v>20380800</v>
      </c>
      <c r="G18" s="29">
        <f t="shared" si="6"/>
        <v>27821200</v>
      </c>
      <c r="H18" s="29">
        <f t="shared" si="6"/>
        <v>27821200</v>
      </c>
      <c r="I18" s="29">
        <f t="shared" si="6"/>
        <v>27821200</v>
      </c>
      <c r="J18" s="29">
        <f t="shared" si="6"/>
        <v>27821200</v>
      </c>
    </row>
    <row r="19" spans="2:11" ht="30" x14ac:dyDescent="0.25">
      <c r="B19" s="9" t="s">
        <v>17</v>
      </c>
      <c r="C19" s="19" t="s">
        <v>12</v>
      </c>
      <c r="D19" s="30">
        <v>2200</v>
      </c>
      <c r="H19" s="14" t="s">
        <v>25</v>
      </c>
      <c r="I19" s="14"/>
      <c r="J19" s="15"/>
      <c r="K19" s="15"/>
    </row>
    <row r="20" spans="2:11" x14ac:dyDescent="0.25">
      <c r="B20" s="9"/>
      <c r="C20" s="12"/>
      <c r="D20" s="31"/>
      <c r="H20" s="14" t="s">
        <v>21</v>
      </c>
      <c r="I20" s="14"/>
      <c r="J20" s="15"/>
      <c r="K20" s="15"/>
    </row>
    <row r="21" spans="2:11" x14ac:dyDescent="0.25">
      <c r="B21" s="13" t="s">
        <v>13</v>
      </c>
      <c r="C21" s="10"/>
      <c r="H21" s="14" t="s">
        <v>26</v>
      </c>
      <c r="I21" s="14"/>
      <c r="J21" s="15"/>
      <c r="K21" s="15"/>
    </row>
    <row r="22" spans="2:11" x14ac:dyDescent="0.25">
      <c r="B22" s="8" t="s">
        <v>29</v>
      </c>
      <c r="C22" s="1" t="s">
        <v>7</v>
      </c>
      <c r="D22" s="32">
        <v>560</v>
      </c>
      <c r="E22" s="33">
        <f>D22*D19</f>
        <v>1232000</v>
      </c>
      <c r="F22" s="35"/>
      <c r="G22" s="35"/>
      <c r="H22" s="14" t="s">
        <v>22</v>
      </c>
      <c r="I22" s="14"/>
      <c r="J22" s="15"/>
      <c r="K22" s="15"/>
    </row>
    <row r="23" spans="2:11" x14ac:dyDescent="0.25">
      <c r="B23" s="8" t="s">
        <v>14</v>
      </c>
      <c r="C23" s="1" t="s">
        <v>15</v>
      </c>
      <c r="D23" s="34"/>
      <c r="E23" s="33">
        <v>290000</v>
      </c>
      <c r="F23" s="35"/>
      <c r="G23" s="35"/>
      <c r="H23" s="16" t="s">
        <v>19</v>
      </c>
      <c r="I23" s="15"/>
      <c r="J23" s="15"/>
      <c r="K23" s="15"/>
    </row>
    <row r="24" spans="2:11" x14ac:dyDescent="0.25">
      <c r="B24" s="8" t="s">
        <v>27</v>
      </c>
      <c r="C24" s="1"/>
      <c r="D24" s="34"/>
      <c r="E24" s="33">
        <v>110000</v>
      </c>
      <c r="F24" s="35"/>
      <c r="G24" s="35"/>
      <c r="H24" s="17" t="s">
        <v>24</v>
      </c>
      <c r="I24" s="15"/>
      <c r="J24" s="15"/>
      <c r="K24" s="15"/>
    </row>
    <row r="25" spans="2:11" x14ac:dyDescent="0.25">
      <c r="B25" s="8" t="s">
        <v>16</v>
      </c>
      <c r="C25" s="1"/>
      <c r="D25" s="34"/>
      <c r="E25" s="26">
        <f>SUM(E22:E24)</f>
        <v>1632000</v>
      </c>
      <c r="F25" s="36"/>
      <c r="G25" s="36"/>
    </row>
  </sheetData>
  <mergeCells count="14">
    <mergeCell ref="D4:J4"/>
    <mergeCell ref="C1:H1"/>
    <mergeCell ref="C2:H2"/>
    <mergeCell ref="C3:H3"/>
    <mergeCell ref="D5:H5"/>
    <mergeCell ref="B15:C15"/>
    <mergeCell ref="B16:C16"/>
    <mergeCell ref="B17:C17"/>
    <mergeCell ref="B18:C18"/>
    <mergeCell ref="B6:C6"/>
    <mergeCell ref="B9:C9"/>
    <mergeCell ref="B10:C10"/>
    <mergeCell ref="B11:C11"/>
    <mergeCell ref="B13:C13"/>
  </mergeCells>
  <pageMargins left="0.25" right="0.25" top="0.75" bottom="0.75" header="0.3" footer="0.3"/>
  <pageSetup orientation="landscape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29"/>
  <sheetViews>
    <sheetView zoomScale="110" zoomScaleNormal="110" workbookViewId="0"/>
  </sheetViews>
  <sheetFormatPr baseColWidth="10" defaultRowHeight="15" x14ac:dyDescent="0.25"/>
  <cols>
    <col min="1" max="1" width="1" customWidth="1"/>
    <col min="2" max="2" width="19.7109375" customWidth="1"/>
    <col min="3" max="3" width="20.140625" customWidth="1"/>
    <col min="4" max="9" width="13.5703125" style="20" customWidth="1"/>
  </cols>
  <sheetData>
    <row r="1" spans="2:9" ht="18.75" x14ac:dyDescent="0.3">
      <c r="C1" s="58" t="s">
        <v>0</v>
      </c>
      <c r="D1" s="58"/>
      <c r="E1" s="58"/>
      <c r="F1" s="58"/>
      <c r="G1" s="58"/>
    </row>
    <row r="2" spans="2:9" ht="15.75" x14ac:dyDescent="0.25">
      <c r="C2" s="59" t="s">
        <v>1</v>
      </c>
      <c r="D2" s="59"/>
      <c r="E2" s="59"/>
      <c r="F2" s="59"/>
      <c r="G2" s="59"/>
    </row>
    <row r="3" spans="2:9" ht="15.75" x14ac:dyDescent="0.25">
      <c r="C3" s="59" t="s">
        <v>2</v>
      </c>
      <c r="D3" s="59"/>
      <c r="E3" s="59"/>
      <c r="F3" s="59"/>
      <c r="G3" s="59"/>
    </row>
    <row r="4" spans="2:9" x14ac:dyDescent="0.25">
      <c r="D4" s="60" t="s">
        <v>3</v>
      </c>
      <c r="E4" s="61"/>
      <c r="F4" s="61"/>
      <c r="G4" s="61"/>
      <c r="H4" s="61"/>
      <c r="I4" s="61"/>
    </row>
    <row r="5" spans="2:9" x14ac:dyDescent="0.25">
      <c r="D5" s="60" t="s">
        <v>35</v>
      </c>
      <c r="E5" s="61"/>
      <c r="F5" s="61"/>
      <c r="G5" s="62"/>
      <c r="H5" s="40" t="s">
        <v>36</v>
      </c>
      <c r="I5" s="21" t="s">
        <v>38</v>
      </c>
    </row>
    <row r="6" spans="2:9" s="39" customFormat="1" ht="42.75" customHeight="1" x14ac:dyDescent="0.25">
      <c r="B6" s="52" t="s">
        <v>4</v>
      </c>
      <c r="C6" s="53"/>
      <c r="D6" s="37" t="s">
        <v>40</v>
      </c>
      <c r="E6" s="38" t="s">
        <v>5</v>
      </c>
      <c r="F6" s="38" t="s">
        <v>41</v>
      </c>
      <c r="G6" s="38" t="s">
        <v>31</v>
      </c>
      <c r="H6" s="37" t="s">
        <v>45</v>
      </c>
      <c r="I6" s="37" t="s">
        <v>39</v>
      </c>
    </row>
    <row r="7" spans="2:9" x14ac:dyDescent="0.25">
      <c r="B7" s="1" t="s">
        <v>6</v>
      </c>
      <c r="C7" s="2" t="s">
        <v>7</v>
      </c>
      <c r="D7" s="22">
        <v>260</v>
      </c>
      <c r="E7" s="22">
        <v>260</v>
      </c>
      <c r="F7" s="22">
        <v>230</v>
      </c>
      <c r="G7" s="22">
        <v>255</v>
      </c>
      <c r="H7" s="23">
        <v>220</v>
      </c>
      <c r="I7" s="23">
        <v>249</v>
      </c>
    </row>
    <row r="8" spans="2:9" x14ac:dyDescent="0.25">
      <c r="B8" s="1" t="s">
        <v>8</v>
      </c>
      <c r="C8" s="18">
        <v>48</v>
      </c>
      <c r="D8" s="22">
        <f>C8*D7</f>
        <v>12480</v>
      </c>
      <c r="E8" s="22">
        <f>C8*E7</f>
        <v>12480</v>
      </c>
      <c r="F8" s="22">
        <f>F7*C8</f>
        <v>11040</v>
      </c>
      <c r="G8" s="22">
        <f>C8*G7</f>
        <v>12240</v>
      </c>
      <c r="H8" s="22">
        <f>H7*C8</f>
        <v>10560</v>
      </c>
      <c r="I8" s="24">
        <f>C8*I7</f>
        <v>11952</v>
      </c>
    </row>
    <row r="9" spans="2:9" x14ac:dyDescent="0.25">
      <c r="B9" s="46" t="s">
        <v>9</v>
      </c>
      <c r="C9" s="47"/>
      <c r="D9" s="22">
        <v>220</v>
      </c>
      <c r="E9" s="22">
        <v>200</v>
      </c>
      <c r="F9" s="22">
        <v>210</v>
      </c>
      <c r="G9" s="22">
        <v>210</v>
      </c>
      <c r="H9" s="23">
        <v>0</v>
      </c>
      <c r="I9" s="23">
        <v>200</v>
      </c>
    </row>
    <row r="10" spans="2:9" x14ac:dyDescent="0.25">
      <c r="B10" s="46" t="s">
        <v>20</v>
      </c>
      <c r="C10" s="47"/>
      <c r="D10" s="23">
        <v>300</v>
      </c>
      <c r="E10" s="22">
        <f>15*C8</f>
        <v>720</v>
      </c>
      <c r="F10" s="22">
        <f>70*5</f>
        <v>350</v>
      </c>
      <c r="G10" s="22">
        <v>350</v>
      </c>
      <c r="H10" s="23">
        <v>0</v>
      </c>
      <c r="I10" s="23">
        <f>(20*5)+(80*5)</f>
        <v>500</v>
      </c>
    </row>
    <row r="11" spans="2:9" ht="27.75" customHeight="1" x14ac:dyDescent="0.25">
      <c r="B11" s="54" t="s">
        <v>37</v>
      </c>
      <c r="C11" s="55"/>
      <c r="D11" s="22">
        <f>50*14</f>
        <v>700</v>
      </c>
      <c r="E11" s="22">
        <f t="shared" ref="E11:I11" si="0">50*14</f>
        <v>700</v>
      </c>
      <c r="F11" s="22">
        <f t="shared" si="0"/>
        <v>700</v>
      </c>
      <c r="G11" s="22">
        <f t="shared" si="0"/>
        <v>700</v>
      </c>
      <c r="H11" s="22">
        <f t="shared" si="0"/>
        <v>700</v>
      </c>
      <c r="I11" s="22">
        <f t="shared" si="0"/>
        <v>700</v>
      </c>
    </row>
    <row r="12" spans="2:9" x14ac:dyDescent="0.25">
      <c r="B12" s="3"/>
      <c r="C12" s="3" t="s">
        <v>7</v>
      </c>
      <c r="D12" s="25">
        <f>SUM(D8:D11)</f>
        <v>13700</v>
      </c>
      <c r="E12" s="25">
        <f t="shared" ref="E12:I12" si="1">SUM(E8:E11)</f>
        <v>14100</v>
      </c>
      <c r="F12" s="25">
        <f>SUM(F8:F11)</f>
        <v>12300</v>
      </c>
      <c r="G12" s="25">
        <f t="shared" si="1"/>
        <v>13500</v>
      </c>
      <c r="H12" s="25">
        <f t="shared" si="1"/>
        <v>11260</v>
      </c>
      <c r="I12" s="25">
        <f t="shared" si="1"/>
        <v>13352</v>
      </c>
    </row>
    <row r="13" spans="2:9" x14ac:dyDescent="0.25">
      <c r="B13" s="56" t="s">
        <v>10</v>
      </c>
      <c r="C13" s="56"/>
      <c r="D13" s="25">
        <f>D12*D23</f>
        <v>30140000</v>
      </c>
      <c r="E13" s="25">
        <f>E12*D23</f>
        <v>31020000</v>
      </c>
      <c r="F13" s="25">
        <f>F12*D23</f>
        <v>27060000</v>
      </c>
      <c r="G13" s="25">
        <f>G12*D23</f>
        <v>29700000</v>
      </c>
      <c r="H13" s="25">
        <f>H12*D23</f>
        <v>24772000</v>
      </c>
      <c r="I13" s="25">
        <f>I12*D23</f>
        <v>29374400</v>
      </c>
    </row>
    <row r="14" spans="2:9" ht="17.25" hidden="1" customHeight="1" x14ac:dyDescent="0.25">
      <c r="B14" s="4"/>
      <c r="C14" s="4"/>
      <c r="D14" s="27"/>
      <c r="E14" s="63" t="s">
        <v>23</v>
      </c>
      <c r="F14" s="63"/>
      <c r="G14" s="63"/>
    </row>
    <row r="15" spans="2:9" hidden="1" x14ac:dyDescent="0.25">
      <c r="B15" s="5" t="s">
        <v>18</v>
      </c>
      <c r="C15" s="6"/>
      <c r="D15" s="22">
        <v>1180</v>
      </c>
      <c r="E15" s="22">
        <v>1180</v>
      </c>
      <c r="F15" s="22"/>
      <c r="G15" s="22">
        <v>1180</v>
      </c>
      <c r="H15" s="22">
        <v>1180</v>
      </c>
      <c r="I15" s="22">
        <v>1180</v>
      </c>
    </row>
    <row r="16" spans="2:9" hidden="1" x14ac:dyDescent="0.25">
      <c r="B16" s="5" t="s">
        <v>33</v>
      </c>
      <c r="C16" s="6"/>
      <c r="D16" s="22">
        <v>170</v>
      </c>
      <c r="E16" s="22">
        <v>170</v>
      </c>
      <c r="F16" s="22"/>
      <c r="G16" s="22">
        <v>170</v>
      </c>
      <c r="H16" s="22">
        <v>170</v>
      </c>
      <c r="I16" s="22">
        <v>170</v>
      </c>
    </row>
    <row r="17" spans="2:10" hidden="1" x14ac:dyDescent="0.25">
      <c r="B17" s="5" t="s">
        <v>32</v>
      </c>
      <c r="C17" s="6"/>
      <c r="D17" s="22">
        <v>140</v>
      </c>
      <c r="E17" s="22">
        <v>140</v>
      </c>
      <c r="F17" s="22"/>
      <c r="G17" s="22">
        <v>140</v>
      </c>
      <c r="H17" s="22">
        <v>140</v>
      </c>
      <c r="I17" s="22">
        <v>140</v>
      </c>
    </row>
    <row r="18" spans="2:10" ht="15.75" x14ac:dyDescent="0.25">
      <c r="B18" s="11" t="s">
        <v>30</v>
      </c>
      <c r="C18" s="7"/>
      <c r="D18" s="28"/>
      <c r="E18" s="28"/>
      <c r="F18" s="28"/>
      <c r="G18" s="28"/>
    </row>
    <row r="19" spans="2:10" ht="28.5" customHeight="1" x14ac:dyDescent="0.25">
      <c r="B19" s="44" t="s">
        <v>43</v>
      </c>
      <c r="C19" s="45"/>
      <c r="D19" s="22">
        <f>1691*12</f>
        <v>20292</v>
      </c>
      <c r="E19" s="22">
        <f t="shared" ref="E19:I19" si="2">1691*12</f>
        <v>20292</v>
      </c>
      <c r="F19" s="22">
        <f t="shared" si="2"/>
        <v>20292</v>
      </c>
      <c r="G19" s="22">
        <f t="shared" si="2"/>
        <v>20292</v>
      </c>
      <c r="H19" s="22">
        <f t="shared" si="2"/>
        <v>20292</v>
      </c>
      <c r="I19" s="22">
        <f t="shared" si="2"/>
        <v>20292</v>
      </c>
    </row>
    <row r="20" spans="2:10" x14ac:dyDescent="0.25">
      <c r="B20" s="46" t="s">
        <v>11</v>
      </c>
      <c r="C20" s="47"/>
      <c r="D20" s="22">
        <v>2500</v>
      </c>
      <c r="E20" s="22">
        <v>2500</v>
      </c>
      <c r="F20" s="22">
        <v>2500</v>
      </c>
      <c r="G20" s="22">
        <v>2500</v>
      </c>
      <c r="H20" s="22">
        <v>2500</v>
      </c>
      <c r="I20" s="22">
        <v>2500</v>
      </c>
    </row>
    <row r="21" spans="2:10" ht="29.25" customHeight="1" x14ac:dyDescent="0.25">
      <c r="B21" s="48" t="s">
        <v>28</v>
      </c>
      <c r="C21" s="49"/>
      <c r="D21" s="29">
        <f t="shared" ref="D21:I21" si="3">D19+D20</f>
        <v>22792</v>
      </c>
      <c r="E21" s="29">
        <f t="shared" si="3"/>
        <v>22792</v>
      </c>
      <c r="F21" s="29">
        <f t="shared" si="3"/>
        <v>22792</v>
      </c>
      <c r="G21" s="29">
        <f t="shared" si="3"/>
        <v>22792</v>
      </c>
      <c r="H21" s="29">
        <f t="shared" si="3"/>
        <v>22792</v>
      </c>
      <c r="I21" s="29">
        <f t="shared" si="3"/>
        <v>22792</v>
      </c>
    </row>
    <row r="22" spans="2:10" ht="16.5" customHeight="1" x14ac:dyDescent="0.25">
      <c r="B22" s="50" t="s">
        <v>34</v>
      </c>
      <c r="C22" s="51"/>
      <c r="D22" s="29">
        <f t="shared" ref="D22:I22" si="4">D21*$D$23</f>
        <v>50142400</v>
      </c>
      <c r="E22" s="29">
        <f t="shared" si="4"/>
        <v>50142400</v>
      </c>
      <c r="F22" s="29">
        <f t="shared" si="4"/>
        <v>50142400</v>
      </c>
      <c r="G22" s="29">
        <f t="shared" si="4"/>
        <v>50142400</v>
      </c>
      <c r="H22" s="29">
        <f t="shared" si="4"/>
        <v>50142400</v>
      </c>
      <c r="I22" s="29">
        <f t="shared" si="4"/>
        <v>50142400</v>
      </c>
    </row>
    <row r="23" spans="2:10" ht="30" x14ac:dyDescent="0.25">
      <c r="B23" s="9" t="s">
        <v>17</v>
      </c>
      <c r="C23" s="3" t="s">
        <v>12</v>
      </c>
      <c r="D23" s="30">
        <v>2200</v>
      </c>
      <c r="G23" s="14" t="s">
        <v>25</v>
      </c>
      <c r="H23" s="14"/>
      <c r="I23" s="15"/>
      <c r="J23" s="15"/>
    </row>
    <row r="24" spans="2:10" x14ac:dyDescent="0.25">
      <c r="B24" s="9"/>
      <c r="C24" s="12"/>
      <c r="D24" s="31"/>
      <c r="G24" s="14" t="s">
        <v>21</v>
      </c>
      <c r="H24" s="14"/>
      <c r="I24" s="15"/>
      <c r="J24" s="15"/>
    </row>
    <row r="25" spans="2:10" x14ac:dyDescent="0.25">
      <c r="B25" s="13" t="s">
        <v>13</v>
      </c>
      <c r="C25" s="10"/>
      <c r="G25" s="14" t="s">
        <v>26</v>
      </c>
      <c r="H25" s="14"/>
      <c r="I25" s="15"/>
      <c r="J25" s="15"/>
    </row>
    <row r="26" spans="2:10" x14ac:dyDescent="0.25">
      <c r="B26" s="8" t="s">
        <v>29</v>
      </c>
      <c r="C26" s="1" t="s">
        <v>7</v>
      </c>
      <c r="D26" s="32">
        <v>560</v>
      </c>
      <c r="E26" s="33">
        <f>D26*D23</f>
        <v>1232000</v>
      </c>
      <c r="F26" s="35"/>
      <c r="G26" s="14" t="s">
        <v>22</v>
      </c>
      <c r="H26" s="14"/>
      <c r="I26" s="15"/>
      <c r="J26" s="15"/>
    </row>
    <row r="27" spans="2:10" x14ac:dyDescent="0.25">
      <c r="B27" s="8" t="s">
        <v>14</v>
      </c>
      <c r="C27" s="1" t="s">
        <v>15</v>
      </c>
      <c r="D27" s="34"/>
      <c r="E27" s="33">
        <v>290000</v>
      </c>
      <c r="F27" s="35"/>
      <c r="G27" s="16" t="s">
        <v>19</v>
      </c>
      <c r="H27" s="15"/>
      <c r="I27" s="15"/>
      <c r="J27" s="15"/>
    </row>
    <row r="28" spans="2:10" x14ac:dyDescent="0.25">
      <c r="B28" s="8" t="s">
        <v>27</v>
      </c>
      <c r="C28" s="1"/>
      <c r="D28" s="34"/>
      <c r="E28" s="33">
        <v>110000</v>
      </c>
      <c r="F28" s="35"/>
      <c r="G28" s="17" t="s">
        <v>24</v>
      </c>
      <c r="H28" s="15"/>
      <c r="I28" s="15"/>
      <c r="J28" s="15"/>
    </row>
    <row r="29" spans="2:10" x14ac:dyDescent="0.25">
      <c r="B29" s="8" t="s">
        <v>16</v>
      </c>
      <c r="C29" s="1"/>
      <c r="D29" s="34"/>
      <c r="E29" s="26">
        <f>SUM(E26:E28)</f>
        <v>1632000</v>
      </c>
      <c r="F29" s="36"/>
    </row>
  </sheetData>
  <mergeCells count="15">
    <mergeCell ref="D4:I4"/>
    <mergeCell ref="B22:C22"/>
    <mergeCell ref="B21:C21"/>
    <mergeCell ref="C1:G1"/>
    <mergeCell ref="C2:G2"/>
    <mergeCell ref="C3:G3"/>
    <mergeCell ref="B6:C6"/>
    <mergeCell ref="B9:C9"/>
    <mergeCell ref="B10:C10"/>
    <mergeCell ref="B11:C11"/>
    <mergeCell ref="B13:C13"/>
    <mergeCell ref="B19:C19"/>
    <mergeCell ref="B20:C20"/>
    <mergeCell ref="E14:G14"/>
    <mergeCell ref="D5:G5"/>
  </mergeCells>
  <pageMargins left="0.25" right="0.25" top="0.75" bottom="0.75" header="0.3" footer="0.3"/>
  <pageSetup orientation="landscape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 meses</vt:lpstr>
      <vt:lpstr>12 meses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vargasfa</cp:lastModifiedBy>
  <cp:lastPrinted>2017-12-04T23:55:48Z</cp:lastPrinted>
  <dcterms:created xsi:type="dcterms:W3CDTF">2015-09-23T22:37:42Z</dcterms:created>
  <dcterms:modified xsi:type="dcterms:W3CDTF">2018-05-31T18:19:45Z</dcterms:modified>
</cp:coreProperties>
</file>